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valderas/GitHubRepositories/ml4iotbp-runtime-predictions/Usability Experiment/reading experiment/"/>
    </mc:Choice>
  </mc:AlternateContent>
  <xr:revisionPtr revIDLastSave="0" documentId="13_ncr:1_{8998E35A-4411-6B48-B92E-872DC46B2A91}" xr6:coauthVersionLast="47" xr6:coauthVersionMax="47" xr10:uidLastSave="{00000000-0000-0000-0000-000000000000}"/>
  <bookViews>
    <workbookView xWindow="0" yWindow="680" windowWidth="30240" windowHeight="17560" xr2:uid="{345689BD-3D5D-C44D-AAEF-9F29CE31E4D0}"/>
  </bookViews>
  <sheets>
    <sheet name="respon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</calcChain>
</file>

<file path=xl/sharedStrings.xml><?xml version="1.0" encoding="utf-8"?>
<sst xmlns="http://schemas.openxmlformats.org/spreadsheetml/2006/main" count="121" uniqueCount="100">
  <si>
    <t>Participant</t>
  </si>
  <si>
    <t>Q1</t>
  </si>
  <si>
    <t>Q2</t>
  </si>
  <si>
    <t>Q3</t>
  </si>
  <si>
    <t>Q4</t>
  </si>
  <si>
    <t>Q5</t>
  </si>
  <si>
    <t>Q6</t>
  </si>
  <si>
    <t>Q7</t>
  </si>
  <si>
    <t>Q8</t>
  </si>
  <si>
    <t>P1</t>
  </si>
  <si>
    <t>During the execution window in which Select Sample is active, before Analyze Sample starts</t>
  </si>
  <si>
    <t>Periodic</t>
  </si>
  <si>
    <t>From Select Sample:start to Analyze Sample:start</t>
  </si>
  <si>
    <t>Every 60 seconds</t>
  </si>
  <si>
    <t>To predict whether bacteria will be detected in the sample</t>
  </si>
  <si>
    <t>Predicted class must be yes and probability must be at least 0.85</t>
  </si>
  <si>
    <t>Native and direct</t>
  </si>
  <si>
    <t>P2</t>
  </si>
  <si>
    <t>While the process is between sampling and analysis</t>
  </si>
  <si>
    <t>Select Sample start defines the beginning, and Analyze Sample start closes the interval</t>
  </si>
  <si>
    <t>60 seconds</t>
  </si>
  <si>
    <t>The prediction estimates whether the microbiological result will be positive</t>
  </si>
  <si>
    <t>The prediction must be yes with confidence equal to or above 85%</t>
  </si>
  <si>
    <t>A variable is created and the process is rerouted</t>
  </si>
  <si>
    <t>Native plus direct</t>
  </si>
  <si>
    <t>P3</t>
  </si>
  <si>
    <t>When Select Sample is running and new runtime data can be recomputed</t>
  </si>
  <si>
    <t>From the start of Select Sample until Analyze Sample starts</t>
  </si>
  <si>
    <t>Every minute</t>
  </si>
  <si>
    <t>It predicts if bacteria is likely to be found</t>
  </si>
  <si>
    <t>The result should be yes and the probability should be over the threshold</t>
  </si>
  <si>
    <t>The current path is interrupted and an alternative one is enabled</t>
  </si>
  <si>
    <t>Direct and native</t>
  </si>
  <si>
    <t>P4</t>
  </si>
  <si>
    <t>Continuously during the sampling phase, once all relevant inputs are available</t>
  </si>
  <si>
    <t>Start event of Select Sample and start event of Analyze Sample</t>
  </si>
  <si>
    <t>To classify whether the sample would have bacteria</t>
  </si>
  <si>
    <t>Positive class yes with probability &gt;= 0.85</t>
  </si>
  <si>
    <t>Native and direct modification</t>
  </si>
  <si>
    <t>P5</t>
  </si>
  <si>
    <t>During Select Sample</t>
  </si>
  <si>
    <t>Select Sample:start -&gt; Analyze Sample:start</t>
  </si>
  <si>
    <t>Detect whether bacteria will be present</t>
  </si>
  <si>
    <t>yes with probability &gt;= 0.85</t>
  </si>
  <si>
    <t>P6</t>
  </si>
  <si>
    <t>At runtime while the sampling task remains active</t>
  </si>
  <si>
    <t>The interval begins at Select Sample start and ends at Analyze Sample start</t>
  </si>
  <si>
    <t>Every 60 s</t>
  </si>
  <si>
    <t>The goal is to predict contamination</t>
  </si>
  <si>
    <t>Prediction=yes and probability &gt;=85%</t>
  </si>
  <si>
    <t>The interpreter executes the actions attached to onTrue</t>
  </si>
  <si>
    <t>P7</t>
  </si>
  <si>
    <t>Around the moment the sample is selected, before the analysis task</t>
  </si>
  <si>
    <t>Event-based and periodic</t>
  </si>
  <si>
    <t>It starts with Select Sample and ends at Analyze Sample</t>
  </si>
  <si>
    <t>Whether bacteria is present</t>
  </si>
  <si>
    <t>If yes is predicted with high enough probability</t>
  </si>
  <si>
    <t>The process flow is changed and a variable is set</t>
  </si>
  <si>
    <t>Mostly native actions</t>
  </si>
  <si>
    <t>P8</t>
  </si>
  <si>
    <t>Within the defined prediction interval during runtime</t>
  </si>
  <si>
    <t>Select Sample(start) to Analyze Sample(start)</t>
  </si>
  <si>
    <t>Binary prediction of bacteria detection</t>
  </si>
  <si>
    <t>Positive class plus threshold comparison</t>
  </si>
  <si>
    <t>Executes the actions associated with the satisfied condition</t>
  </si>
  <si>
    <t>P9</t>
  </si>
  <si>
    <t>During the sampling part of the process</t>
  </si>
  <si>
    <t>From Select Sample to Analyze Sample</t>
  </si>
  <si>
    <t>About every minute</t>
  </si>
  <si>
    <t>To know if the sample is contaminated</t>
  </si>
  <si>
    <t>The result must be yes with probability above 0.85</t>
  </si>
  <si>
    <t>Native</t>
  </si>
  <si>
    <t>P10</t>
  </si>
  <si>
    <t>While Select Sample is active and before Analyze Sample begins</t>
  </si>
  <si>
    <t>The interval is delimited by the start of Select Sample and the start of Analyze Sample</t>
  </si>
  <si>
    <t>Predict whether bacteria will be detected</t>
  </si>
  <si>
    <t>The positive class must be yes and the confidence must reach the threshold</t>
  </si>
  <si>
    <t>The variable is set and the flow is modified accordingly</t>
  </si>
  <si>
    <t>P11</t>
  </si>
  <si>
    <t>During the execution of the Select Sample task before the analysis begins</t>
  </si>
  <si>
    <t>Prediction must be yes with probability &gt;= 0.85</t>
  </si>
  <si>
    <t>Native and direct actions</t>
  </si>
  <si>
    <t>It allows predicting  whether or not  bacteria is detected</t>
  </si>
  <si>
    <t>P12</t>
  </si>
  <si>
    <t>While the Select Sample task is active before the analysis task</t>
  </si>
  <si>
    <t>Between Select Sample start and Analyze Sample start</t>
  </si>
  <si>
    <t xml:space="preserve"> 60 s</t>
  </si>
  <si>
    <t>To predict if bacteria will be detected</t>
  </si>
  <si>
    <t>If the prediction is yes with probability above 0.85</t>
  </si>
  <si>
    <t>Mainly native actions</t>
  </si>
  <si>
    <t>The system sets bacteriaDetected=yes and activates the task placeForDistribution</t>
  </si>
  <si>
    <t>It sets a process variable and performs task placeForDistribution is activated</t>
  </si>
  <si>
    <t>Set variable and redirect the instance to placeForDistribution task</t>
  </si>
  <si>
    <t>A variable is sent and the process changes</t>
  </si>
  <si>
    <t>The system sets a variable and alters the process flow to execute placeForDistribution</t>
  </si>
  <si>
    <t>The task placeForDistribution is activated and a variable is set</t>
  </si>
  <si>
    <t>Prediction Interval</t>
  </si>
  <si>
    <t>Condition</t>
  </si>
  <si>
    <t>Actions</t>
  </si>
  <si>
    <t>Triggering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</si>
</sst>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33" borderId="0" xfId="0" applyFill="1"/>
    <xf numFmtId="0" fontId="0" fillId="34" borderId="0" xfId="0" applyFill="1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Correct answers in</a:t>
            </a:r>
            <a:r>
              <a:rPr lang="es-ES_tradnl" baseline="0"/>
              <a:t> the reading experiment</a:t>
            </a:r>
            <a:endParaRPr lang="es-ES_trad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responses!$B$18:$B$21</c:f>
              <c:strCache>
                <c:ptCount val="4"/>
                <c:pt idx="0">
                  <c:v>Triggering</c:v>
                </c:pt>
                <c:pt idx="1">
                  <c:v>Prediction Interval</c:v>
                </c:pt>
                <c:pt idx="2">
                  <c:v>Condition</c:v>
                </c:pt>
                <c:pt idx="3">
                  <c:v>Actions</c:v>
                </c:pt>
              </c:strCache>
            </c:strRef>
          </c:cat>
          <c:val>
            <c:numRef>
              <c:f>responses!$C$18:$C$21</c:f>
              <c:numCache>
                <c:formatCode>0.00%</c:formatCode>
                <c:ptCount val="4"/>
                <c:pt idx="0">
                  <c:v>0.875</c:v>
                </c:pt>
                <c:pt idx="1">
                  <c:v>1</c:v>
                </c:pt>
                <c:pt idx="2">
                  <c:v>0.9375</c:v>
                </c:pt>
                <c:pt idx="3">
                  <c:v>0.85416666666666663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A-D549-ABB6-98731FC46F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7473535"/>
        <c:axId val="49677184"/>
      </c:barChart>
      <c:catAx>
        <c:axId val="208747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677184"/>
        <c:crosses val="autoZero"/>
        <c:auto val="1"/>
        <c:lblAlgn val="ctr"/>
        <c:lblOffset val="100"/>
        <c:noMultiLvlLbl val="0"/>
      </c:catAx>
      <c:valAx>
        <c:axId val="49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8747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1238100</xdr:colOff>
      <xdr:row>24</xdr:row>
      <xdr:rowOff>66931</xdr:rowOff>
    </xdr:from>
    <xdr:to>
      <xdr:col>2</xdr:col>
      <xdr:colOff>43939</xdr:colOff>
      <xdr:row>37</xdr:row>
      <xdr:rowOff>149752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F699EB4-C941-7F18-3BF5-1FEAEA498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E11D-348C-7F45-A3B1-C191B1471938}">
  <dimension ref="A1:K21"/>
  <sheetViews>
    <sheetView tabSelected="1" zoomScale="211" zoomScaleNormal="211" workbookViewId="0">
      <selection activeCell="C26" sqref="C26"/>
    </sheetView>
  </sheetViews>
  <sheetFormatPr baseColWidth="10" defaultRowHeight="16" x14ac:dyDescent="0.2"/>
  <cols>
    <col min="2" max="2" width="75.6640625" customWidth="1"/>
    <col min="3" max="3" width="22.1640625" customWidth="1"/>
    <col min="4" max="4" width="72.33203125" customWidth="1"/>
    <col min="5" max="5" width="19.33203125" customWidth="1"/>
    <col min="6" max="7" width="62.83203125" customWidth="1"/>
    <col min="8" max="8" width="59.33203125" customWidth="1"/>
    <col min="9" max="9" width="27.5" customWidth="1"/>
    <col min="10" max="10" width="66.5" customWidth="1"/>
    <col min="11" max="11" width="56.164062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90</v>
      </c>
      <c r="I2" t="s">
        <v>16</v>
      </c>
    </row>
    <row r="3" spans="1:11" x14ac:dyDescent="0.2">
      <c r="A3" t="s">
        <v>17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s="2"/>
    </row>
    <row r="4" spans="1:11" x14ac:dyDescent="0.2">
      <c r="A4" t="s">
        <v>25</v>
      </c>
      <c r="B4" t="s">
        <v>26</v>
      </c>
      <c r="C4" t="s">
        <v>11</v>
      </c>
      <c r="D4" t="s">
        <v>27</v>
      </c>
      <c r="E4" t="s">
        <v>28</v>
      </c>
      <c r="F4" t="s">
        <v>29</v>
      </c>
      <c r="G4" t="s">
        <v>30</v>
      </c>
      <c r="H4" s="3" t="s">
        <v>31</v>
      </c>
      <c r="I4" t="s">
        <v>32</v>
      </c>
    </row>
    <row r="5" spans="1:11" x14ac:dyDescent="0.2">
      <c r="A5" t="s">
        <v>33</v>
      </c>
      <c r="B5" t="s">
        <v>34</v>
      </c>
      <c r="C5" t="s">
        <v>11</v>
      </c>
      <c r="D5" t="s">
        <v>35</v>
      </c>
      <c r="E5" t="s">
        <v>13</v>
      </c>
      <c r="F5" t="s">
        <v>36</v>
      </c>
      <c r="G5" t="s">
        <v>37</v>
      </c>
      <c r="H5" t="s">
        <v>91</v>
      </c>
      <c r="I5" t="s">
        <v>38</v>
      </c>
    </row>
    <row r="6" spans="1:11" x14ac:dyDescent="0.2">
      <c r="A6" t="s">
        <v>39</v>
      </c>
      <c r="B6" t="s">
        <v>40</v>
      </c>
      <c r="C6" t="s">
        <v>11</v>
      </c>
      <c r="D6" t="s">
        <v>41</v>
      </c>
      <c r="E6" t="s">
        <v>20</v>
      </c>
      <c r="F6" t="s">
        <v>42</v>
      </c>
      <c r="G6" t="s">
        <v>43</v>
      </c>
      <c r="H6" t="s">
        <v>92</v>
      </c>
      <c r="I6" t="s">
        <v>16</v>
      </c>
      <c r="K6" s="2"/>
    </row>
    <row r="7" spans="1:11" x14ac:dyDescent="0.2">
      <c r="A7" t="s">
        <v>44</v>
      </c>
      <c r="B7" t="s">
        <v>45</v>
      </c>
      <c r="C7" t="s">
        <v>11</v>
      </c>
      <c r="D7" t="s">
        <v>46</v>
      </c>
      <c r="E7" t="s">
        <v>47</v>
      </c>
      <c r="F7" t="s">
        <v>48</v>
      </c>
      <c r="G7" t="s">
        <v>49</v>
      </c>
      <c r="H7" s="3" t="s">
        <v>50</v>
      </c>
      <c r="I7" t="s">
        <v>16</v>
      </c>
      <c r="K7" s="2"/>
    </row>
    <row r="8" spans="1:11" x14ac:dyDescent="0.2">
      <c r="A8" t="s">
        <v>51</v>
      </c>
      <c r="B8" t="s">
        <v>52</v>
      </c>
      <c r="C8" s="3" t="s">
        <v>53</v>
      </c>
      <c r="D8" t="s">
        <v>54</v>
      </c>
      <c r="E8" t="s">
        <v>13</v>
      </c>
      <c r="F8" t="s">
        <v>55</v>
      </c>
      <c r="G8" s="3" t="s">
        <v>56</v>
      </c>
      <c r="H8" t="s">
        <v>57</v>
      </c>
      <c r="I8" s="3" t="s">
        <v>58</v>
      </c>
    </row>
    <row r="9" spans="1:11" x14ac:dyDescent="0.2">
      <c r="A9" t="s">
        <v>59</v>
      </c>
      <c r="B9" s="3" t="s">
        <v>60</v>
      </c>
      <c r="C9" t="s">
        <v>11</v>
      </c>
      <c r="D9" t="s">
        <v>61</v>
      </c>
      <c r="E9" t="s">
        <v>20</v>
      </c>
      <c r="F9" t="s">
        <v>62</v>
      </c>
      <c r="G9" s="3" t="s">
        <v>63</v>
      </c>
      <c r="H9" s="3" t="s">
        <v>64</v>
      </c>
      <c r="I9" t="s">
        <v>38</v>
      </c>
    </row>
    <row r="10" spans="1:11" x14ac:dyDescent="0.2">
      <c r="A10" t="s">
        <v>65</v>
      </c>
      <c r="B10" t="s">
        <v>66</v>
      </c>
      <c r="C10" t="s">
        <v>11</v>
      </c>
      <c r="D10" t="s">
        <v>67</v>
      </c>
      <c r="E10" t="s">
        <v>68</v>
      </c>
      <c r="F10" t="s">
        <v>69</v>
      </c>
      <c r="G10" t="s">
        <v>70</v>
      </c>
      <c r="H10" s="3" t="s">
        <v>93</v>
      </c>
      <c r="I10" s="3" t="s">
        <v>71</v>
      </c>
      <c r="K10" s="2"/>
    </row>
    <row r="11" spans="1:11" x14ac:dyDescent="0.2">
      <c r="A11" t="s">
        <v>72</v>
      </c>
      <c r="B11" t="s">
        <v>73</v>
      </c>
      <c r="C11" t="s">
        <v>11</v>
      </c>
      <c r="D11" t="s">
        <v>74</v>
      </c>
      <c r="E11" t="s">
        <v>13</v>
      </c>
      <c r="F11" t="s">
        <v>75</v>
      </c>
      <c r="G11" s="3" t="s">
        <v>76</v>
      </c>
      <c r="H11" t="s">
        <v>77</v>
      </c>
      <c r="I11" t="s">
        <v>16</v>
      </c>
    </row>
    <row r="12" spans="1:11" x14ac:dyDescent="0.2">
      <c r="A12" t="s">
        <v>78</v>
      </c>
      <c r="B12" t="s">
        <v>79</v>
      </c>
      <c r="C12" t="s">
        <v>11</v>
      </c>
      <c r="D12" t="s">
        <v>12</v>
      </c>
      <c r="E12" t="s">
        <v>13</v>
      </c>
      <c r="F12" t="s">
        <v>82</v>
      </c>
      <c r="G12" t="s">
        <v>80</v>
      </c>
      <c r="H12" t="s">
        <v>94</v>
      </c>
      <c r="I12" t="s">
        <v>81</v>
      </c>
    </row>
    <row r="13" spans="1:11" x14ac:dyDescent="0.2">
      <c r="A13" t="s">
        <v>83</v>
      </c>
      <c r="B13" t="s">
        <v>84</v>
      </c>
      <c r="C13" t="s">
        <v>11</v>
      </c>
      <c r="D13" t="s">
        <v>85</v>
      </c>
      <c r="E13" t="s">
        <v>86</v>
      </c>
      <c r="F13" t="s">
        <v>87</v>
      </c>
      <c r="G13" t="s">
        <v>88</v>
      </c>
      <c r="H13" t="s">
        <v>95</v>
      </c>
      <c r="I13" s="3" t="s">
        <v>89</v>
      </c>
    </row>
    <row r="15" spans="1:11" x14ac:dyDescent="0.2">
      <c r="B15">
        <v>90</v>
      </c>
      <c r="C15">
        <v>90</v>
      </c>
      <c r="D15">
        <v>120</v>
      </c>
      <c r="E15">
        <v>120</v>
      </c>
      <c r="F15">
        <v>120</v>
      </c>
      <c r="G15">
        <v>105</v>
      </c>
      <c r="H15">
        <v>100</v>
      </c>
      <c r="I15">
        <v>105</v>
      </c>
    </row>
    <row r="18" spans="2:3" x14ac:dyDescent="0.2">
      <c r="B18" t="s">
        <v>99</v>
      </c>
      <c r="C18" s="4">
        <f>AVERAGE(C15:D15)/120</f>
        <v>0.875</v>
      </c>
    </row>
    <row r="19" spans="2:3" x14ac:dyDescent="0.2">
      <c r="B19" t="s">
        <v>96</v>
      </c>
      <c r="C19" s="4">
        <f>AVERAGE(D15,E15)/120</f>
        <v>1</v>
      </c>
    </row>
    <row r="20" spans="2:3" x14ac:dyDescent="0.2">
      <c r="B20" t="s">
        <v>97</v>
      </c>
      <c r="C20" s="4">
        <f>AVERAGE(F15,G15)/120</f>
        <v>0.9375</v>
      </c>
    </row>
    <row r="21" spans="2:3" x14ac:dyDescent="0.2">
      <c r="B21" t="s">
        <v>98</v>
      </c>
      <c r="C21" s="4">
        <f>AVERAGE(H15,I15)/120</f>
        <v>0.85416666666666663</v>
      </c>
    </row>
  </sheetData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Jose Valderas Aranda</dc:creator>
  <cp:lastModifiedBy>Pedro Jose Valderas Aranda</cp:lastModifiedBy>
  <cp:lastPrinted>2026-04-14T15:07:15Z</cp:lastPrinted>
  <dcterms:created xsi:type="dcterms:W3CDTF">2026-03-27T17:44:47Z</dcterms:created>
  <dcterms:modified xsi:type="dcterms:W3CDTF">2026-04-18T16:47:57Z</dcterms:modified>
</cp:coreProperties>
</file>